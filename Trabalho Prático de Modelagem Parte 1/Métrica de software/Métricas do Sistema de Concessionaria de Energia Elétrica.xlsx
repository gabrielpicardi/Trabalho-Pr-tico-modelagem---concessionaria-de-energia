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Biblioteca\OneDrive\Downloads\"/>
    </mc:Choice>
  </mc:AlternateContent>
  <xr:revisionPtr revIDLastSave="0" documentId="13_ncr:1_{E65AB188-796C-4573-9D94-38A7167FD346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Caso de UsoTipo (Complexidade)C" sheetId="1" r:id="rId1"/>
  </sheets>
  <calcPr calcId="181029"/>
</workbook>
</file>

<file path=xl/calcChain.xml><?xml version="1.0" encoding="utf-8"?>
<calcChain xmlns="http://schemas.openxmlformats.org/spreadsheetml/2006/main">
  <c r="B29" i="1" l="1"/>
  <c r="B30" i="1" s="1"/>
  <c r="B31" i="1" s="1"/>
  <c r="B27" i="1"/>
  <c r="B26" i="1"/>
  <c r="B25" i="1"/>
  <c r="B24" i="1"/>
  <c r="C22" i="1"/>
  <c r="C12" i="1"/>
</calcChain>
</file>

<file path=xl/sharedStrings.xml><?xml version="1.0" encoding="utf-8"?>
<sst xmlns="http://schemas.openxmlformats.org/spreadsheetml/2006/main" count="51" uniqueCount="35">
  <si>
    <t>Caso de Uso</t>
  </si>
  <si>
    <t>Tipo (Complexidade)</t>
  </si>
  <si>
    <t>Peso</t>
  </si>
  <si>
    <t>Gerar/Emitir Fatura</t>
  </si>
  <si>
    <t>Médio</t>
  </si>
  <si>
    <t>Realizar Pagamento</t>
  </si>
  <si>
    <t>Cadastrar Cliente</t>
  </si>
  <si>
    <t>Simples</t>
  </si>
  <si>
    <t>Alterar Cliente</t>
  </si>
  <si>
    <t>Excluir Cliente</t>
  </si>
  <si>
    <t>Visualizar Fatura</t>
  </si>
  <si>
    <t>Contatar Suporte</t>
  </si>
  <si>
    <t>Realizar Elogios</t>
  </si>
  <si>
    <t>CRUD Energia (Gerar Relatórios)</t>
  </si>
  <si>
    <t>Complexo</t>
  </si>
  <si>
    <t>CRUD Energia (Gerenciar)</t>
  </si>
  <si>
    <t>Ator</t>
  </si>
  <si>
    <t>Visitante</t>
  </si>
  <si>
    <t>Cliente</t>
  </si>
  <si>
    <t>Usuário</t>
  </si>
  <si>
    <t>Eletricista</t>
  </si>
  <si>
    <t>Leiturista</t>
  </si>
  <si>
    <t>Atendente</t>
  </si>
  <si>
    <t>Administrador</t>
  </si>
  <si>
    <t>Total =</t>
  </si>
  <si>
    <t xml:space="preserve">TPNAA = </t>
  </si>
  <si>
    <t>PCUNA =</t>
  </si>
  <si>
    <t>FCT =</t>
  </si>
  <si>
    <t>FCA =</t>
  </si>
  <si>
    <t>PCUA ≈</t>
  </si>
  <si>
    <t>Esforço Total =</t>
  </si>
  <si>
    <t>Por Pessoa =</t>
  </si>
  <si>
    <t>Duração em Meses =</t>
  </si>
  <si>
    <t>Tempo Total =</t>
  </si>
  <si>
    <t>5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</si>
</sst>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topLeftCell="A13" workbookViewId="0">
      <selection activeCell="B33" sqref="B33"/>
    </sheetView>
  </sheetViews>
  <sheetFormatPr defaultColWidth="12.5703125" defaultRowHeight="15.75" customHeight="1" x14ac:dyDescent="0.2"/>
  <cols>
    <col min="1" max="1" width="28.7109375" customWidth="1"/>
    <col min="2" max="2" width="22" customWidth="1"/>
  </cols>
  <sheetData>
    <row r="1" spans="1:4" x14ac:dyDescent="0.2">
      <c r="A1" s="1" t="s">
        <v>0</v>
      </c>
      <c r="B1" s="1" t="s">
        <v>1</v>
      </c>
      <c r="C1" s="7" t="s">
        <v>2</v>
      </c>
    </row>
    <row r="2" spans="1:4" x14ac:dyDescent="0.2">
      <c r="A2" s="1" t="s">
        <v>3</v>
      </c>
      <c r="B2" s="1" t="s">
        <v>4</v>
      </c>
      <c r="C2" s="7">
        <v>10</v>
      </c>
      <c r="D2" s="1"/>
    </row>
    <row r="3" spans="1:4" x14ac:dyDescent="0.2">
      <c r="A3" s="1" t="s">
        <v>5</v>
      </c>
      <c r="B3" s="1" t="s">
        <v>4</v>
      </c>
      <c r="C3" s="7">
        <v>10</v>
      </c>
    </row>
    <row r="4" spans="1:4" x14ac:dyDescent="0.2">
      <c r="A4" s="1" t="s">
        <v>6</v>
      </c>
      <c r="B4" s="1" t="s">
        <v>7</v>
      </c>
      <c r="C4" s="7">
        <v>5</v>
      </c>
    </row>
    <row r="5" spans="1:4" x14ac:dyDescent="0.2">
      <c r="A5" s="1" t="s">
        <v>8</v>
      </c>
      <c r="B5" s="1" t="s">
        <v>7</v>
      </c>
      <c r="C5" s="7">
        <v>5</v>
      </c>
    </row>
    <row r="6" spans="1:4" x14ac:dyDescent="0.2">
      <c r="A6" s="1" t="s">
        <v>9</v>
      </c>
      <c r="B6" s="1" t="s">
        <v>7</v>
      </c>
      <c r="C6" s="7">
        <v>5</v>
      </c>
    </row>
    <row r="7" spans="1:4" x14ac:dyDescent="0.2">
      <c r="A7" s="1" t="s">
        <v>10</v>
      </c>
      <c r="B7" s="1" t="s">
        <v>7</v>
      </c>
      <c r="C7" s="7">
        <v>5</v>
      </c>
    </row>
    <row r="8" spans="1:4" x14ac:dyDescent="0.2">
      <c r="A8" s="1" t="s">
        <v>11</v>
      </c>
      <c r="B8" s="1" t="s">
        <v>7</v>
      </c>
      <c r="C8" s="7">
        <v>5</v>
      </c>
    </row>
    <row r="9" spans="1:4" x14ac:dyDescent="0.2">
      <c r="A9" s="1" t="s">
        <v>12</v>
      </c>
      <c r="B9" s="1" t="s">
        <v>7</v>
      </c>
      <c r="C9" s="7">
        <v>5</v>
      </c>
    </row>
    <row r="10" spans="1:4" x14ac:dyDescent="0.2">
      <c r="A10" s="1" t="s">
        <v>13</v>
      </c>
      <c r="B10" s="1" t="s">
        <v>14</v>
      </c>
      <c r="C10" s="7">
        <v>15</v>
      </c>
    </row>
    <row r="11" spans="1:4" x14ac:dyDescent="0.2">
      <c r="A11" s="1" t="s">
        <v>15</v>
      </c>
      <c r="B11" s="1" t="s">
        <v>14</v>
      </c>
      <c r="C11" s="7">
        <v>15</v>
      </c>
    </row>
    <row r="12" spans="1:4" x14ac:dyDescent="0.2">
      <c r="A12" s="1"/>
      <c r="B12" s="8" t="s">
        <v>24</v>
      </c>
      <c r="C12" s="7">
        <f>SUM(C2+C3+C4+C5+C6+C7+C8+C9+C10+C11)</f>
        <v>80</v>
      </c>
    </row>
    <row r="14" spans="1:4" x14ac:dyDescent="0.2">
      <c r="A14" s="2" t="s">
        <v>16</v>
      </c>
      <c r="B14" s="2" t="s">
        <v>1</v>
      </c>
      <c r="C14" s="10" t="s">
        <v>2</v>
      </c>
    </row>
    <row r="15" spans="1:4" x14ac:dyDescent="0.2">
      <c r="A15" s="2" t="s">
        <v>17</v>
      </c>
      <c r="B15" s="2" t="s">
        <v>7</v>
      </c>
      <c r="C15" s="10">
        <v>1</v>
      </c>
    </row>
    <row r="16" spans="1:4" x14ac:dyDescent="0.2">
      <c r="A16" s="2" t="s">
        <v>18</v>
      </c>
      <c r="B16" s="2" t="s">
        <v>4</v>
      </c>
      <c r="C16" s="10">
        <v>2</v>
      </c>
    </row>
    <row r="17" spans="1:3" x14ac:dyDescent="0.2">
      <c r="A17" s="2" t="s">
        <v>19</v>
      </c>
      <c r="B17" s="2" t="s">
        <v>4</v>
      </c>
      <c r="C17" s="10">
        <v>2</v>
      </c>
    </row>
    <row r="18" spans="1:3" x14ac:dyDescent="0.2">
      <c r="A18" s="2" t="s">
        <v>20</v>
      </c>
      <c r="B18" s="2" t="s">
        <v>4</v>
      </c>
      <c r="C18" s="10">
        <v>2</v>
      </c>
    </row>
    <row r="19" spans="1:3" x14ac:dyDescent="0.2">
      <c r="A19" s="2" t="s">
        <v>21</v>
      </c>
      <c r="B19" s="2" t="s">
        <v>4</v>
      </c>
      <c r="C19" s="10">
        <v>2</v>
      </c>
    </row>
    <row r="20" spans="1:3" x14ac:dyDescent="0.2">
      <c r="A20" s="2" t="s">
        <v>22</v>
      </c>
      <c r="B20" s="2" t="s">
        <v>4</v>
      </c>
      <c r="C20" s="10">
        <v>2</v>
      </c>
    </row>
    <row r="21" spans="1:3" x14ac:dyDescent="0.2">
      <c r="A21" s="2" t="s">
        <v>23</v>
      </c>
      <c r="B21" s="2" t="s">
        <v>14</v>
      </c>
      <c r="C21" s="10">
        <v>3</v>
      </c>
    </row>
    <row r="22" spans="1:3" x14ac:dyDescent="0.2">
      <c r="A22" s="2"/>
      <c r="B22" s="3" t="s">
        <v>25</v>
      </c>
      <c r="C22" s="10">
        <f>SUM(C15+C16+C17+C18+C19+C20+C21)</f>
        <v>14</v>
      </c>
    </row>
    <row r="24" spans="1:3" x14ac:dyDescent="0.2">
      <c r="A24" s="8" t="s">
        <v>26</v>
      </c>
      <c r="B24" s="6">
        <f>SUM(C12+C22)</f>
        <v>94</v>
      </c>
    </row>
    <row r="25" spans="1:3" x14ac:dyDescent="0.2">
      <c r="A25" s="8" t="s">
        <v>27</v>
      </c>
      <c r="B25" s="9">
        <f>SUM(0.6+(0.01*2*5))</f>
        <v>0.7</v>
      </c>
    </row>
    <row r="26" spans="1:3" x14ac:dyDescent="0.2">
      <c r="A26" s="8" t="s">
        <v>28</v>
      </c>
      <c r="B26" s="6">
        <f>SUM(1.4+(-0.03*2*4))</f>
        <v>1.1599999999999999</v>
      </c>
    </row>
    <row r="27" spans="1:3" x14ac:dyDescent="0.2">
      <c r="A27" s="8" t="s">
        <v>29</v>
      </c>
      <c r="B27" s="6">
        <f>SUM(B24*B25*B26)</f>
        <v>76.327999999999989</v>
      </c>
    </row>
    <row r="28" spans="1:3" x14ac:dyDescent="0.2">
      <c r="A28" s="4"/>
    </row>
    <row r="29" spans="1:3" x14ac:dyDescent="0.2">
      <c r="A29" s="8" t="s">
        <v>30</v>
      </c>
      <c r="B29" s="5">
        <f>SUM(B27*20)</f>
        <v>1526.5599999999997</v>
      </c>
    </row>
    <row r="30" spans="1:3" x14ac:dyDescent="0.2">
      <c r="A30" s="8" t="s">
        <v>31</v>
      </c>
      <c r="B30" s="5">
        <f>SUM(B29/2)</f>
        <v>763.27999999999986</v>
      </c>
    </row>
    <row r="31" spans="1:3" x14ac:dyDescent="0.2">
      <c r="A31" s="8" t="s">
        <v>32</v>
      </c>
      <c r="B31" s="5">
        <f>SUM(B30/160)</f>
        <v>4.7704999999999993</v>
      </c>
    </row>
    <row r="32" spans="1:3" ht="15.75" customHeight="1" x14ac:dyDescent="0.2">
      <c r="A32" s="8" t="s">
        <v>33</v>
      </c>
      <c r="B32" t="s">
        <v>34</v>
      </c>
    </row>
    <row r="33" spans="1:2" ht="15.75" customHeight="1" x14ac:dyDescent="0.2">
      <c r="A33" s="7"/>
      <c r="B33" s="7"/>
    </row>
    <row r="34" spans="1:2" ht="15.75" customHeight="1" x14ac:dyDescent="0.2">
      <c r="A34" s="7"/>
      <c r="B34" s="7"/>
    </row>
    <row r="35" spans="1:2" ht="15.75" customHeight="1" x14ac:dyDescent="0.2">
      <c r="A35" s="7"/>
      <c r="B35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 de UsoTipo (Complexidade)C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Hygor Reis</cp:lastModifiedBy>
  <dcterms:modified xsi:type="dcterms:W3CDTF">2025-10-16T03:20:39Z</dcterms:modified>
</cp:coreProperties>
</file>